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2478D8F-14B4-4F9A-8862-172B353E7E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Игра" sheetId="1" r:id="rId1"/>
    <sheet name="Правила" sheetId="2" r:id="rId2"/>
    <sheet name="Рефлексия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6" i="1" l="1"/>
  <c r="H16" i="1"/>
  <c r="U15" i="1"/>
  <c r="H15" i="1"/>
  <c r="U14" i="1"/>
  <c r="H14" i="1"/>
  <c r="U13" i="1"/>
  <c r="H13" i="1"/>
  <c r="U12" i="1"/>
  <c r="H12" i="1"/>
  <c r="U11" i="1"/>
  <c r="H11" i="1"/>
  <c r="U10" i="1"/>
  <c r="H10" i="1"/>
  <c r="U9" i="1"/>
  <c r="H9" i="1"/>
  <c r="U8" i="1"/>
  <c r="N8" i="1"/>
  <c r="M8" i="1"/>
  <c r="L8" i="1"/>
  <c r="K8" i="1"/>
  <c r="H8" i="1"/>
  <c r="U7" i="1"/>
  <c r="H7" i="1"/>
  <c r="U6" i="1"/>
  <c r="H6" i="1"/>
  <c r="S5" i="1"/>
  <c r="F5" i="1"/>
  <c r="U17" i="1" l="1"/>
  <c r="B13" i="1" s="1"/>
  <c r="H17" i="1"/>
  <c r="B15" i="1"/>
  <c r="B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Правила</author>
  </authors>
  <commentList>
    <comment ref="F5" authorId="0" shapeId="0" xr:uid="{00000000-0006-0000-0000-000001000000}">
      <text>
        <r>
          <rPr>
            <sz val="12"/>
            <color theme="1"/>
            <rFont val="Calibri"/>
            <family val="2"/>
            <scheme val="minor"/>
          </rPr>
          <t>Имя игрока 1 подставляется автоматически из ячейки D6.</t>
        </r>
      </text>
    </comment>
    <comment ref="H5" authorId="0" shapeId="0" xr:uid="{00000000-0006-0000-0000-000002000000}">
      <text>
        <r>
          <rPr>
            <sz val="12"/>
            <color theme="1"/>
            <rFont val="Calibri"/>
            <family val="2"/>
            <scheme val="minor"/>
          </rPr>
          <t>Очки = количество букв в слове умножить на 2. Считается формулой ДЛСТР.</t>
        </r>
      </text>
    </comment>
    <comment ref="S5" authorId="0" shapeId="0" xr:uid="{00000000-0006-0000-0000-000003000000}">
      <text>
        <r>
          <rPr>
            <sz val="12"/>
            <color theme="1"/>
            <rFont val="Calibri"/>
            <family val="2"/>
            <scheme val="minor"/>
          </rPr>
          <t>Имя игрока 2 подставляется автоматически из ячейки D7.</t>
        </r>
      </text>
    </comment>
    <comment ref="U5" authorId="0" shapeId="0" xr:uid="{00000000-0006-0000-0000-000004000000}">
      <text>
        <r>
          <rPr>
            <sz val="12"/>
            <color theme="1"/>
            <rFont val="Calibri"/>
            <family val="2"/>
            <scheme val="minor"/>
          </rPr>
          <t>Очки = количество букв в слове умножить на 2. Считается формулой ДЛСТР.</t>
        </r>
      </text>
    </comment>
    <comment ref="B6" authorId="0" shapeId="0" xr:uid="{00000000-0006-0000-0000-000005000000}">
      <text>
        <r>
          <rPr>
            <sz val="12"/>
            <color theme="1"/>
            <rFont val="Calibri"/>
            <family val="2"/>
            <scheme val="minor"/>
          </rPr>
          <t>Введите имя первого игрока. Оно автоматически появится в шапке левой таблицы.</t>
        </r>
      </text>
    </comment>
    <comment ref="G6" authorId="0" shapeId="0" xr:uid="{00000000-0006-0000-0000-000006000000}">
      <text>
        <r>
          <rPr>
            <sz val="12"/>
            <color theme="1"/>
            <rFont val="Calibri"/>
            <family val="2"/>
            <scheme val="minor"/>
          </rPr>
          <t>Впишите сюда слово, которое получилось у игрока в этом ходу. Очки посчитаются автоматически: длина слова умножить на 2.</t>
        </r>
      </text>
    </comment>
    <comment ref="T6" authorId="0" shapeId="0" xr:uid="{00000000-0006-0000-0000-000007000000}">
      <text>
        <r>
          <rPr>
            <sz val="12"/>
            <color theme="1"/>
            <rFont val="Calibri"/>
            <family val="2"/>
            <scheme val="minor"/>
          </rPr>
          <t>Впишите сюда слово, которое получилось у игрока в этом ходу. Очки посчитаются автоматически: длина слова умножить на 2.</t>
        </r>
      </text>
    </comment>
    <comment ref="B7" authorId="0" shapeId="0" xr:uid="{00000000-0006-0000-0000-000008000000}">
      <text>
        <r>
          <rPr>
            <sz val="12"/>
            <color theme="1"/>
            <rFont val="Calibri"/>
            <family val="2"/>
            <scheme val="minor"/>
          </rPr>
          <t>Введите имя второго игрока. Оно автоматически появится в шапке правой таблицы.</t>
        </r>
      </text>
    </comment>
    <comment ref="B8" authorId="0" shapeId="0" xr:uid="{00000000-0006-0000-0000-000009000000}">
      <text>
        <r>
          <rPr>
            <sz val="12"/>
            <color theme="1"/>
            <rFont val="Calibri"/>
            <family val="2"/>
            <scheme val="minor"/>
          </rPr>
          <t>Стартовое слово должно состоять ровно из 5 букв. Его буквы появятся на игровом поле.</t>
        </r>
      </text>
    </comment>
    <comment ref="C8" authorId="0" shapeId="0" xr:uid="{00000000-0006-0000-0000-00000A000000}">
      <text>
        <r>
          <rPr>
            <sz val="12"/>
            <color theme="1"/>
            <rFont val="Calibri"/>
            <family val="2"/>
            <scheme val="minor"/>
          </rPr>
          <t>Слово из 5 букв, например: ТОПОР, БАЛДА, СЛОВО.</t>
        </r>
      </text>
    </comment>
    <comment ref="J8" authorId="0" shapeId="0" xr:uid="{00000000-0006-0000-0000-00000B000000}">
      <text>
        <r>
          <rPr>
            <sz val="12"/>
            <color theme="1"/>
            <rFont val="Calibri"/>
            <family val="2"/>
            <scheme val="minor"/>
          </rPr>
          <t>Буквы стартового слова извлекаются по одной с помощью функции ПСТР.</t>
        </r>
      </text>
    </comment>
    <comment ref="B15" authorId="0" shapeId="0" xr:uid="{00000000-0006-0000-0000-00000C000000}">
      <text>
        <r>
          <rPr>
            <sz val="12"/>
            <color theme="1"/>
            <rFont val="Calibri"/>
            <family val="2"/>
            <scheme val="minor"/>
          </rPr>
          <t>Победитель определяется автоматически: сравниваются суммы очков обоих игроков.</t>
        </r>
      </text>
    </comment>
    <comment ref="H17" authorId="0" shapeId="0" xr:uid="{00000000-0006-0000-0000-00000D000000}">
      <text>
        <r>
          <rPr>
            <sz val="12"/>
            <color theme="1"/>
            <rFont val="Calibri"/>
            <family val="2"/>
            <scheme val="minor"/>
          </rPr>
          <t>Сумма всех очков первого игрока за игру. Считается формулой СУММ.</t>
        </r>
      </text>
    </comment>
    <comment ref="U17" authorId="0" shapeId="0" xr:uid="{00000000-0006-0000-0000-00000E000000}">
      <text>
        <r>
          <rPr>
            <sz val="12"/>
            <color theme="1"/>
            <rFont val="Calibri"/>
            <family val="2"/>
            <scheme val="minor"/>
          </rPr>
          <t>Сумма всех очков второго игрока за игру. Считается формулой СУММ.</t>
        </r>
      </text>
    </comment>
  </commentList>
</comments>
</file>

<file path=xl/sharedStrings.xml><?xml version="1.0" encoding="utf-8"?>
<sst xmlns="http://schemas.openxmlformats.org/spreadsheetml/2006/main" count="34" uniqueCount="30">
  <si>
    <t>КОРОЛЕВСКИЙ КВАДРАТ</t>
  </si>
  <si>
    <t>ИГРОКИ</t>
  </si>
  <si>
    <t>Слова</t>
  </si>
  <si>
    <t>Очки</t>
  </si>
  <si>
    <t>Игрок 1:</t>
  </si>
  <si>
    <t>Вася</t>
  </si>
  <si>
    <t>Игрок 2:</t>
  </si>
  <si>
    <t>Славик</t>
  </si>
  <si>
    <t>Стартовое слово:</t>
  </si>
  <si>
    <t>ВАФЛЯ</t>
  </si>
  <si>
    <t>СЧЁТ</t>
  </si>
  <si>
    <t>Итого:</t>
  </si>
  <si>
    <t>ПРАВИЛА ИГРЫ - КОРОЛЕВСКИЙ КВАДРАТ</t>
  </si>
  <si>
    <t>В начале игры каждый игрок пишет своё слово из 5 букв.</t>
  </si>
  <si>
    <t>Оно появится на игровом поле.</t>
  </si>
  <si>
    <t>В свой ход добавьте одну букву к любой букве на поле</t>
  </si>
  <si>
    <t>и составьте новое слово.</t>
  </si>
  <si>
    <t>Запишите получившееся слово в свою таблицу.</t>
  </si>
  <si>
    <t>За каждую букву слова вы получаете 2 очка.</t>
  </si>
  <si>
    <t>Например:</t>
  </si>
  <si>
    <t>КОТ - 3 буквы умножить на 2 = 6 очков.</t>
  </si>
  <si>
    <t>МАШИНА - 6 букв умножить на 2 = 12 очков.</t>
  </si>
  <si>
    <t>У кого больше очков - тот и победил!</t>
  </si>
  <si>
    <t>СУММ</t>
  </si>
  <si>
    <t>ЕСЛИ</t>
  </si>
  <si>
    <t>И</t>
  </si>
  <si>
    <t>ДЛСТР</t>
  </si>
  <si>
    <t>ПСТР</t>
  </si>
  <si>
    <t>В</t>
  </si>
  <si>
    <t>ВОВА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</si>
</sst>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22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4" borderId="5" xfId="0" applyFill="1" applyBorder="1"/>
    <xf numFmtId="0" fontId="0" fillId="4" borderId="6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1" xfId="0" applyFill="1" applyBorder="1"/>
    <xf numFmtId="0" fontId="0" fillId="4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1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/>
    <xf numFmtId="0" fontId="1" fillId="8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129"/>
  <sheetViews>
    <sheetView tabSelected="1" workbookViewId="0">
      <selection activeCell="T7" sqref="T7"/>
    </sheetView>
  </sheetViews>
  <sheetFormatPr defaultRowHeight="15.75" x14ac:dyDescent="0.25"/>
  <cols>
    <col min="1" max="1" width="3.875" style="4" customWidth="1"/>
    <col min="2" max="2" width="22.875" style="4" customWidth="1"/>
    <col min="3" max="3" width="10" style="4" customWidth="1"/>
    <col min="4" max="4" width="6.625" style="4" customWidth="1"/>
    <col min="5" max="5" width="3.875" style="4" customWidth="1"/>
    <col min="6" max="6" width="5.875" style="4" customWidth="1"/>
    <col min="7" max="7" width="18.875" style="4" customWidth="1"/>
    <col min="8" max="8" width="7.375" style="4" customWidth="1"/>
    <col min="9" max="9" width="6.5" style="4" customWidth="1"/>
    <col min="10" max="10" width="7.125" style="4" customWidth="1"/>
    <col min="11" max="11" width="6.75" style="4" customWidth="1"/>
    <col min="12" max="12" width="7.5" style="4" customWidth="1"/>
    <col min="13" max="13" width="6.25" style="4" customWidth="1"/>
    <col min="14" max="14" width="7" style="4" customWidth="1"/>
    <col min="15" max="15" width="3.875" style="4" customWidth="1"/>
    <col min="16" max="16" width="5.875" style="4" customWidth="1"/>
    <col min="17" max="18" width="5.625" style="4" customWidth="1"/>
  </cols>
  <sheetData>
    <row r="2" spans="2:21" ht="32.1" customHeight="1" x14ac:dyDescent="0.45">
      <c r="H2" s="29" t="s">
        <v>0</v>
      </c>
      <c r="I2" s="30"/>
      <c r="J2" s="30"/>
      <c r="K2" s="30"/>
      <c r="L2" s="30"/>
      <c r="M2" s="30"/>
      <c r="N2" s="30"/>
    </row>
    <row r="4" spans="2:21" ht="16.5" customHeight="1" thickBot="1" x14ac:dyDescent="0.3"/>
    <row r="5" spans="2:21" ht="30" customHeight="1" thickBot="1" x14ac:dyDescent="0.3">
      <c r="B5" s="5" t="s">
        <v>1</v>
      </c>
      <c r="C5" s="7"/>
      <c r="F5" s="15" t="str">
        <f>IF($C$6="","Игрок 1",$C$6)</f>
        <v>Вася</v>
      </c>
      <c r="G5" s="15" t="s">
        <v>2</v>
      </c>
      <c r="H5" s="15" t="s">
        <v>3</v>
      </c>
      <c r="S5" s="16" t="str">
        <f>IF($C$7="","Игрок 2",$C$7)</f>
        <v>Славик</v>
      </c>
      <c r="T5" s="16" t="s">
        <v>2</v>
      </c>
      <c r="U5" s="16" t="s">
        <v>3</v>
      </c>
    </row>
    <row r="6" spans="2:21" ht="30" customHeight="1" x14ac:dyDescent="0.25">
      <c r="B6" s="11" t="s">
        <v>4</v>
      </c>
      <c r="C6" s="12" t="s">
        <v>5</v>
      </c>
      <c r="F6" s="15">
        <v>1</v>
      </c>
      <c r="G6" s="15" t="s">
        <v>29</v>
      </c>
      <c r="H6" s="15">
        <f t="shared" ref="H6:H16" si="0">IF(G6="","",LEN(G6))</f>
        <v>4</v>
      </c>
      <c r="J6" s="17"/>
      <c r="K6" s="18"/>
      <c r="L6" s="18"/>
      <c r="M6" s="18"/>
      <c r="N6" s="19"/>
      <c r="S6" s="16">
        <v>1</v>
      </c>
      <c r="T6" s="16" t="s">
        <v>29</v>
      </c>
      <c r="U6" s="16">
        <f t="shared" ref="U6:U16" si="1">IF(T6="","",LEN(T6))</f>
        <v>4</v>
      </c>
    </row>
    <row r="7" spans="2:21" ht="30" customHeight="1" x14ac:dyDescent="0.25">
      <c r="B7" s="13" t="s">
        <v>6</v>
      </c>
      <c r="C7" s="14" t="s">
        <v>7</v>
      </c>
      <c r="F7" s="15">
        <v>2</v>
      </c>
      <c r="G7" s="15"/>
      <c r="H7" s="15" t="str">
        <f t="shared" si="0"/>
        <v/>
      </c>
      <c r="J7" s="20"/>
      <c r="K7" s="21"/>
      <c r="L7" s="21"/>
      <c r="M7" s="21"/>
      <c r="N7" s="22"/>
      <c r="S7" s="16">
        <v>2</v>
      </c>
      <c r="T7" s="16"/>
      <c r="U7" s="16" t="str">
        <f t="shared" si="1"/>
        <v/>
      </c>
    </row>
    <row r="8" spans="2:21" ht="30" customHeight="1" thickBot="1" x14ac:dyDescent="0.3">
      <c r="B8" s="8" t="s">
        <v>8</v>
      </c>
      <c r="C8" s="10" t="s">
        <v>9</v>
      </c>
      <c r="F8" s="15">
        <v>3</v>
      </c>
      <c r="G8" s="15"/>
      <c r="H8" s="15" t="str">
        <f t="shared" si="0"/>
        <v/>
      </c>
      <c r="J8" s="20" t="s">
        <v>28</v>
      </c>
      <c r="K8" s="21" t="str">
        <f>MID($C$8,2,1)</f>
        <v>А</v>
      </c>
      <c r="L8" s="21" t="str">
        <f>MID($C$8,3,1)</f>
        <v>Ф</v>
      </c>
      <c r="M8" s="21" t="str">
        <f>MID($C$8,4,1)</f>
        <v>Л</v>
      </c>
      <c r="N8" s="22" t="str">
        <f>MID($C$8,5,1)</f>
        <v>Я</v>
      </c>
      <c r="S8" s="16">
        <v>3</v>
      </c>
      <c r="T8" s="16"/>
      <c r="U8" s="16" t="str">
        <f t="shared" si="1"/>
        <v/>
      </c>
    </row>
    <row r="9" spans="2:21" ht="30" customHeight="1" x14ac:dyDescent="0.25">
      <c r="F9" s="15">
        <v>4</v>
      </c>
      <c r="G9" s="15"/>
      <c r="H9" s="15" t="str">
        <f t="shared" si="0"/>
        <v/>
      </c>
      <c r="J9" s="20"/>
      <c r="K9" s="21"/>
      <c r="L9" s="21"/>
      <c r="M9" s="21"/>
      <c r="N9" s="22"/>
      <c r="S9" s="16">
        <v>4</v>
      </c>
      <c r="T9" s="16"/>
      <c r="U9" s="16" t="str">
        <f t="shared" si="1"/>
        <v/>
      </c>
    </row>
    <row r="10" spans="2:21" ht="30" customHeight="1" thickBot="1" x14ac:dyDescent="0.3">
      <c r="F10" s="15">
        <v>5</v>
      </c>
      <c r="G10" s="15"/>
      <c r="H10" s="15" t="str">
        <f t="shared" si="0"/>
        <v/>
      </c>
      <c r="J10" s="23"/>
      <c r="K10" s="24"/>
      <c r="L10" s="24"/>
      <c r="M10" s="24"/>
      <c r="N10" s="25"/>
      <c r="S10" s="16">
        <v>5</v>
      </c>
      <c r="T10" s="16"/>
      <c r="U10" s="16" t="str">
        <f t="shared" si="1"/>
        <v/>
      </c>
    </row>
    <row r="11" spans="2:21" ht="30" customHeight="1" x14ac:dyDescent="0.25">
      <c r="B11" s="26" t="s">
        <v>10</v>
      </c>
      <c r="F11" s="15">
        <v>6</v>
      </c>
      <c r="G11" s="15"/>
      <c r="H11" s="15" t="str">
        <f t="shared" si="0"/>
        <v/>
      </c>
      <c r="S11" s="16">
        <v>6</v>
      </c>
      <c r="T11" s="16"/>
      <c r="U11" s="16" t="str">
        <f t="shared" si="1"/>
        <v/>
      </c>
    </row>
    <row r="12" spans="2:21" ht="30" customHeight="1" x14ac:dyDescent="0.25">
      <c r="B12" s="27" t="str">
        <f>"Итого "&amp;$C$6&amp;": "&amp;$H$17</f>
        <v>Итого Вася: 4</v>
      </c>
      <c r="F12" s="15">
        <v>7</v>
      </c>
      <c r="G12" s="15"/>
      <c r="H12" s="15" t="str">
        <f t="shared" si="0"/>
        <v/>
      </c>
      <c r="S12" s="16">
        <v>7</v>
      </c>
      <c r="T12" s="16"/>
      <c r="U12" s="16" t="str">
        <f t="shared" si="1"/>
        <v/>
      </c>
    </row>
    <row r="13" spans="2:21" ht="30" customHeight="1" x14ac:dyDescent="0.25">
      <c r="B13" s="27" t="str">
        <f>"Итого "&amp;$C$7&amp;": "&amp;$U$17</f>
        <v>Итого Славик: 4</v>
      </c>
      <c r="F13" s="15">
        <v>8</v>
      </c>
      <c r="G13" s="15"/>
      <c r="H13" s="15" t="str">
        <f t="shared" si="0"/>
        <v/>
      </c>
      <c r="S13" s="16">
        <v>8</v>
      </c>
      <c r="T13" s="16"/>
      <c r="U13" s="16" t="str">
        <f t="shared" si="1"/>
        <v/>
      </c>
    </row>
    <row r="14" spans="2:21" ht="30" customHeight="1" x14ac:dyDescent="0.25">
      <c r="B14" s="27"/>
      <c r="F14" s="15">
        <v>9</v>
      </c>
      <c r="G14" s="15"/>
      <c r="H14" s="15" t="str">
        <f t="shared" si="0"/>
        <v/>
      </c>
      <c r="S14" s="16">
        <v>9</v>
      </c>
      <c r="T14" s="16"/>
      <c r="U14" s="16" t="str">
        <f t="shared" si="1"/>
        <v/>
      </c>
    </row>
    <row r="15" spans="2:21" ht="30" customHeight="1" thickBot="1" x14ac:dyDescent="0.3">
      <c r="B15" s="28" t="str">
        <f>IF(OR($C$6="",$C$7=""),"",IF($H$17&gt;$U$17,"Выигрывает "&amp;$C$6,IF($U$17&gt;$H$17,"Выигрывает "&amp;$C$7,"Ничья")))</f>
        <v>Ничья</v>
      </c>
      <c r="F15" s="15">
        <v>10</v>
      </c>
      <c r="G15" s="15"/>
      <c r="H15" s="15" t="str">
        <f t="shared" si="0"/>
        <v/>
      </c>
      <c r="S15" s="16">
        <v>10</v>
      </c>
      <c r="T15" s="16"/>
      <c r="U15" s="16" t="str">
        <f t="shared" si="1"/>
        <v/>
      </c>
    </row>
    <row r="16" spans="2:21" ht="30" customHeight="1" x14ac:dyDescent="0.25">
      <c r="F16" s="15">
        <v>11</v>
      </c>
      <c r="G16" s="15"/>
      <c r="H16" s="15" t="str">
        <f t="shared" si="0"/>
        <v/>
      </c>
      <c r="S16" s="16">
        <v>11</v>
      </c>
      <c r="T16" s="16"/>
      <c r="U16" s="16" t="str">
        <f t="shared" si="1"/>
        <v/>
      </c>
    </row>
    <row r="17" spans="6:21" ht="30" customHeight="1" x14ac:dyDescent="0.25">
      <c r="F17" s="15"/>
      <c r="G17" s="15" t="s">
        <v>11</v>
      </c>
      <c r="H17" s="15">
        <f>SUM(H6:H16)</f>
        <v>4</v>
      </c>
      <c r="S17" s="16"/>
      <c r="T17" s="16" t="s">
        <v>11</v>
      </c>
      <c r="U17" s="16">
        <f>SUM(U6:U16)</f>
        <v>4</v>
      </c>
    </row>
    <row r="18" spans="6:21" ht="30" customHeight="1" x14ac:dyDescent="0.25"/>
    <row r="19" spans="6:21" ht="30" customHeight="1" x14ac:dyDescent="0.25"/>
    <row r="20" spans="6:21" ht="30" customHeight="1" x14ac:dyDescent="0.25"/>
    <row r="21" spans="6:21" ht="30" customHeight="1" x14ac:dyDescent="0.25"/>
    <row r="22" spans="6:21" ht="30" customHeight="1" x14ac:dyDescent="0.25"/>
    <row r="125" spans="2:2" ht="16.5" customHeight="1" thickBot="1" x14ac:dyDescent="0.3"/>
    <row r="126" spans="2:2" x14ac:dyDescent="0.25">
      <c r="B126" s="6"/>
    </row>
    <row r="127" spans="2:2" x14ac:dyDescent="0.25">
      <c r="B127" s="1"/>
    </row>
    <row r="128" spans="2:2" x14ac:dyDescent="0.25">
      <c r="B128" s="1"/>
    </row>
    <row r="129" spans="2:2" ht="16.5" customHeight="1" thickBot="1" x14ac:dyDescent="0.3">
      <c r="B129" s="9"/>
    </row>
  </sheetData>
  <mergeCells count="1">
    <mergeCell ref="H2:N2"/>
  </mergeCells>
  <dataValidations count="1">
    <dataValidation type="custom" allowBlank="1" showInputMessage="1" showErrorMessage="1" errorTitle="Недопустимый ввод" error="Введите только одну русскую букву (А–Я или Ё)." promptTitle="Игровое поле" prompt="Введите одну русскую букву." sqref="J6:N10" xr:uid="{00000000-0002-0000-0000-000000000000}">
      <formula1>OR(J6="",AND(LEN(J6)=1,ISNUMBER(SEARCH(UPPER(J6),"АБВГДЕЁЖЗИЙКЛМНОПРСТУФХЦЧШЩЪЫЬЭЮЯ"))))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sqref="A1:B1"/>
    </sheetView>
  </sheetViews>
  <sheetFormatPr defaultRowHeight="15.75" x14ac:dyDescent="0.25"/>
  <cols>
    <col min="1" max="1" width="60.875" style="4" customWidth="1"/>
    <col min="2" max="2" width="20.875" style="4" customWidth="1"/>
  </cols>
  <sheetData>
    <row r="1" spans="1:2" ht="26.1" customHeight="1" x14ac:dyDescent="0.25">
      <c r="A1" s="30" t="s">
        <v>12</v>
      </c>
      <c r="B1" s="30"/>
    </row>
    <row r="3" spans="1:2" x14ac:dyDescent="0.25">
      <c r="A3" t="s">
        <v>13</v>
      </c>
    </row>
    <row r="4" spans="1:2" x14ac:dyDescent="0.25">
      <c r="A4" t="s">
        <v>14</v>
      </c>
    </row>
    <row r="6" spans="1:2" x14ac:dyDescent="0.25">
      <c r="A6" t="s">
        <v>15</v>
      </c>
    </row>
    <row r="7" spans="1:2" x14ac:dyDescent="0.25">
      <c r="A7" t="s">
        <v>16</v>
      </c>
    </row>
    <row r="9" spans="1:2" x14ac:dyDescent="0.25">
      <c r="A9" t="s">
        <v>17</v>
      </c>
    </row>
    <row r="11" spans="1:2" x14ac:dyDescent="0.25">
      <c r="A11" t="s">
        <v>18</v>
      </c>
    </row>
    <row r="13" spans="1:2" x14ac:dyDescent="0.25">
      <c r="A13" t="s">
        <v>19</v>
      </c>
    </row>
    <row r="14" spans="1:2" x14ac:dyDescent="0.25">
      <c r="A14" t="s">
        <v>20</v>
      </c>
    </row>
    <row r="15" spans="1:2" x14ac:dyDescent="0.25">
      <c r="A15" t="s">
        <v>21</v>
      </c>
    </row>
    <row r="17" spans="1:1" x14ac:dyDescent="0.25">
      <c r="A17" t="s">
        <v>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workbookViewId="0">
      <selection activeCell="A9" sqref="A9"/>
    </sheetView>
  </sheetViews>
  <sheetFormatPr defaultRowHeight="15.75" x14ac:dyDescent="0.25"/>
  <cols>
    <col min="1" max="1" width="70.875" style="4" customWidth="1"/>
    <col min="2" max="2" width="9.875" style="4" customWidth="1"/>
  </cols>
  <sheetData>
    <row r="1" spans="1:2" x14ac:dyDescent="0.25">
      <c r="A1" s="2" t="s">
        <v>23</v>
      </c>
    </row>
    <row r="2" spans="1:2" x14ac:dyDescent="0.25">
      <c r="A2" s="2" t="s">
        <v>24</v>
      </c>
    </row>
    <row r="3" spans="1:2" x14ac:dyDescent="0.25">
      <c r="A3" s="2" t="s">
        <v>25</v>
      </c>
    </row>
    <row r="4" spans="1:2" x14ac:dyDescent="0.25">
      <c r="A4" s="3" t="s">
        <v>26</v>
      </c>
    </row>
    <row r="5" spans="1:2" x14ac:dyDescent="0.25">
      <c r="A5" s="3" t="s">
        <v>27</v>
      </c>
    </row>
    <row r="7" spans="1:2" x14ac:dyDescent="0.25">
      <c r="A7" s="30"/>
      <c r="B7" s="30"/>
    </row>
    <row r="11" spans="1:2" x14ac:dyDescent="0.25">
      <c r="A11" s="30"/>
      <c r="B11" s="30"/>
    </row>
    <row r="15" spans="1:2" x14ac:dyDescent="0.25">
      <c r="A15" s="30"/>
      <c r="B15" s="30"/>
    </row>
    <row r="19" spans="1:2" x14ac:dyDescent="0.25">
      <c r="A19" s="30"/>
      <c r="B19" s="30"/>
    </row>
    <row r="23" spans="1:2" x14ac:dyDescent="0.25">
      <c r="A23" s="30"/>
      <c r="B23" s="30"/>
    </row>
  </sheetData>
  <mergeCells count="5">
    <mergeCell ref="A15:B15"/>
    <mergeCell ref="A7:B7"/>
    <mergeCell ref="A19:B19"/>
    <mergeCell ref="A11:B11"/>
    <mergeCell ref="A23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Игра</vt:lpstr>
      <vt:lpstr>Правила</vt:lpstr>
      <vt:lpstr>Рефлексия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Захар</dc:creator>
  <cp:lastModifiedBy>Назар Алёшин</cp:lastModifiedBy>
  <dcterms:created xsi:type="dcterms:W3CDTF">2026-10-02T18:52:20Z</dcterms:created>
  <dcterms:modified xsi:type="dcterms:W3CDTF">2026-10-02T22:06:02Z</dcterms:modified>
</cp:coreProperties>
</file>